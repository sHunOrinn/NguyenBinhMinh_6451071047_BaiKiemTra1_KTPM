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hi tiết" sheetId="2" state="visible" r:id="rId2"/>
  </sheets>
  <definedNames>
    <definedName name="_xlnm._FilterDatabase" localSheetId="1" hidden="1">'Chi tiết'!$A$1:$N$32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8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1" fontId="2" fillId="0" borderId="1" applyAlignment="1" pivotButton="0" quotePrefix="0" xfId="0">
      <alignment horizontal="center"/>
    </xf>
    <xf numFmtId="0" fontId="3" fillId="2" borderId="1" pivotButton="0" quotePrefix="0" xfId="0"/>
    <xf numFmtId="1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40404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Phân bố kết quả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'Tổng quan'!$A$12:$A$15</f>
            </numRef>
          </cat>
          <val>
            <numRef>
              <f>'Tổng quan'!$B$12:$B$15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BÁO CÁO KIỂM THỬ TỰ ĐỘNG – CHỨC NĂNG ĐĂNG NHẬP</t>
        </is>
      </c>
    </row>
    <row r="3">
      <c r="A3" s="2" t="inlineStr">
        <is>
          <t>Hệ thống kiểm thử</t>
        </is>
      </c>
      <c r="B3" s="3" t="inlineStr">
        <is>
          <t>Văn phòng điện tử – Trường ĐH Giao thông vận tải (UTC)</t>
        </is>
      </c>
    </row>
    <row r="4">
      <c r="A4" s="2" t="inlineStr">
        <is>
          <t>URL</t>
        </is>
      </c>
      <c r="B4" s="3" t="inlineStr">
        <is>
          <t>https://vanphongdientu.utc.edu.vn/Login</t>
        </is>
      </c>
    </row>
    <row r="5">
      <c r="A5" s="2" t="inlineStr">
        <is>
          <t>Thời điểm chạy</t>
        </is>
      </c>
      <c r="B5" s="3" t="inlineStr">
        <is>
          <t>08/10/2026 16:59:22</t>
        </is>
      </c>
    </row>
    <row r="6">
      <c r="A6" s="2" t="inlineStr">
        <is>
          <t>Trình duyệt</t>
        </is>
      </c>
      <c r="B6" s="3" t="inlineStr">
        <is>
          <t>Chrome 154.0.8037.98</t>
        </is>
      </c>
    </row>
    <row r="7">
      <c r="A7" s="2" t="inlineStr">
        <is>
          <t>Chế độ chạy</t>
        </is>
      </c>
      <c r="B7" s="3" t="inlineStr">
        <is>
          <t>Có giao diện</t>
        </is>
      </c>
    </row>
    <row r="8">
      <c r="A8" s="2" t="inlineStr">
        <is>
          <t>Công cụ</t>
        </is>
      </c>
      <c r="B8" s="3" t="inlineStr">
        <is>
          <t>Selenium 4.50.0 + pytest 9.1.1</t>
        </is>
      </c>
    </row>
    <row r="10">
      <c r="A10" s="4" t="inlineStr">
        <is>
          <t>KẾT QUẢ TỔNG HỢP</t>
        </is>
      </c>
    </row>
    <row r="11">
      <c r="A11" s="5" t="inlineStr">
        <is>
          <t>Tổng số test case</t>
        </is>
      </c>
      <c r="B11" s="6">
        <f>COUNTA('Chi tiết'!$B$2:$B$1000)</f>
        <v/>
      </c>
    </row>
    <row r="12">
      <c r="A12" s="7" t="inlineStr">
        <is>
          <t>PASSED (đạt)</t>
        </is>
      </c>
      <c r="B12" s="8">
        <f>COUNTIF('Chi tiết'!$K$2:$K$1000,"PASSED")</f>
        <v/>
      </c>
    </row>
    <row r="13">
      <c r="A13" s="5" t="inlineStr">
        <is>
          <t>FAILED (sai kết quả mong đợi)</t>
        </is>
      </c>
      <c r="B13" s="6">
        <f>COUNTIF('Chi tiết'!$K$2:$K$1000,"FAILED")</f>
        <v/>
      </c>
    </row>
    <row r="14">
      <c r="A14" s="7" t="inlineStr">
        <is>
          <t>ERROR (lỗi khi chạy)</t>
        </is>
      </c>
      <c r="B14" s="8">
        <f>COUNTIF('Chi tiết'!$K$2:$K$1000,"ERROR")</f>
        <v/>
      </c>
    </row>
    <row r="15">
      <c r="A15" s="5" t="inlineStr">
        <is>
          <t>SKIPPED (bỏ qua)</t>
        </is>
      </c>
      <c r="B15" s="6">
        <f>COUNTIF('Chi tiết'!$K$2:$K$1000,"SKIPPED")</f>
        <v/>
      </c>
    </row>
    <row r="16">
      <c r="A16" s="7" t="inlineStr">
        <is>
          <t>Tỷ lệ đạt (PASSED / số TC đã chạy)</t>
        </is>
      </c>
      <c r="B16" s="9">
        <f>IF(B11-B15=0,0,B12/(B11-B15))</f>
        <v/>
      </c>
    </row>
    <row r="17">
      <c r="A17" s="5" t="inlineStr">
        <is>
          <t>Tổng thời gian chạy (giây)</t>
        </is>
      </c>
      <c r="B17" s="10">
        <f>SUM('Chi tiết'!$L$2:$L$1000)</f>
        <v/>
      </c>
    </row>
    <row r="19">
      <c r="A19" s="4" t="inlineStr">
        <is>
          <t>THEO NHÓM</t>
        </is>
      </c>
    </row>
    <row r="20">
      <c r="A20" s="11" t="inlineStr">
        <is>
          <t>Nhóm</t>
        </is>
      </c>
      <c r="B20" s="11" t="inlineStr">
        <is>
          <t>Tổng</t>
        </is>
      </c>
      <c r="C20" s="11" t="inlineStr">
        <is>
          <t>PASSED</t>
        </is>
      </c>
      <c r="D20" s="11" t="inlineStr">
        <is>
          <t>FAILED</t>
        </is>
      </c>
      <c r="E20" s="11" t="inlineStr">
        <is>
          <t>ERROR</t>
        </is>
      </c>
      <c r="F20" s="11" t="inlineStr">
        <is>
          <t>SKIPPED</t>
        </is>
      </c>
    </row>
    <row r="21">
      <c r="A21" s="5" t="inlineStr">
        <is>
          <t>Giao diện</t>
        </is>
      </c>
      <c r="B21" s="12">
        <f>COUNTIF('Chi tiết'!$C$2:$C$1000,A21)</f>
        <v/>
      </c>
      <c r="C21" s="12">
        <f>COUNTIFS('Chi tiết'!$C$2:$C$1000,$A21,'Chi tiết'!$K$2:$K$1000,"PASSED")</f>
        <v/>
      </c>
      <c r="D21" s="12">
        <f>COUNTIFS('Chi tiết'!$C$2:$C$1000,$A21,'Chi tiết'!$K$2:$K$1000,"FAILED")</f>
        <v/>
      </c>
      <c r="E21" s="12">
        <f>COUNTIFS('Chi tiết'!$C$2:$C$1000,$A21,'Chi tiết'!$K$2:$K$1000,"ERROR")</f>
        <v/>
      </c>
      <c r="F21" s="12">
        <f>COUNTIFS('Chi tiết'!$C$2:$C$1000,$A21,'Chi tiết'!$K$2:$K$1000,"SKIPPED")</f>
        <v/>
      </c>
    </row>
    <row r="22">
      <c r="A22" s="5" t="inlineStr">
        <is>
          <t>Validate – tiêu cực</t>
        </is>
      </c>
      <c r="B22" s="12">
        <f>COUNTIF('Chi tiết'!$C$2:$C$1000,A22)</f>
        <v/>
      </c>
      <c r="C22" s="12">
        <f>COUNTIFS('Chi tiết'!$C$2:$C$1000,$A22,'Chi tiết'!$K$2:$K$1000,"PASSED")</f>
        <v/>
      </c>
      <c r="D22" s="12">
        <f>COUNTIFS('Chi tiết'!$C$2:$C$1000,$A22,'Chi tiết'!$K$2:$K$1000,"FAILED")</f>
        <v/>
      </c>
      <c r="E22" s="12">
        <f>COUNTIFS('Chi tiết'!$C$2:$C$1000,$A22,'Chi tiết'!$K$2:$K$1000,"ERROR")</f>
        <v/>
      </c>
      <c r="F22" s="12">
        <f>COUNTIFS('Chi tiết'!$C$2:$C$1000,$A22,'Chi tiết'!$K$2:$K$1000,"SKIPPED")</f>
        <v/>
      </c>
    </row>
    <row r="23">
      <c r="A23" s="5" t="inlineStr">
        <is>
          <t>Đăng nhập – tích cực</t>
        </is>
      </c>
      <c r="B23" s="12">
        <f>COUNTIF('Chi tiết'!$C$2:$C$1000,A23)</f>
        <v/>
      </c>
      <c r="C23" s="12">
        <f>COUNTIFS('Chi tiết'!$C$2:$C$1000,$A23,'Chi tiết'!$K$2:$K$1000,"PASSED")</f>
        <v/>
      </c>
      <c r="D23" s="12">
        <f>COUNTIFS('Chi tiết'!$C$2:$C$1000,$A23,'Chi tiết'!$K$2:$K$1000,"FAILED")</f>
        <v/>
      </c>
      <c r="E23" s="12">
        <f>COUNTIFS('Chi tiết'!$C$2:$C$1000,$A23,'Chi tiết'!$K$2:$K$1000,"ERROR")</f>
        <v/>
      </c>
      <c r="F23" s="12">
        <f>COUNTIFS('Chi tiết'!$C$2:$C$1000,$A23,'Chi tiết'!$K$2:$K$1000,"SKIPPED")</f>
        <v/>
      </c>
    </row>
    <row r="24">
      <c r="A24" s="5" t="inlineStr">
        <is>
          <t>Liên kết</t>
        </is>
      </c>
      <c r="B24" s="12">
        <f>COUNTIF('Chi tiết'!$C$2:$C$1000,A24)</f>
        <v/>
      </c>
      <c r="C24" s="12">
        <f>COUNTIFS('Chi tiết'!$C$2:$C$1000,$A24,'Chi tiết'!$K$2:$K$1000,"PASSED")</f>
        <v/>
      </c>
      <c r="D24" s="12">
        <f>COUNTIFS('Chi tiết'!$C$2:$C$1000,$A24,'Chi tiết'!$K$2:$K$1000,"FAILED")</f>
        <v/>
      </c>
      <c r="E24" s="12">
        <f>COUNTIFS('Chi tiết'!$C$2:$C$1000,$A24,'Chi tiết'!$K$2:$K$1000,"ERROR")</f>
        <v/>
      </c>
      <c r="F24" s="12">
        <f>COUNTIFS('Chi tiết'!$C$2:$C$1000,$A24,'Chi tiết'!$K$2:$K$1000,"SKIPPED")</f>
        <v/>
      </c>
    </row>
    <row r="25">
      <c r="A25" s="5" t="inlineStr">
        <is>
          <t>Bảo mật</t>
        </is>
      </c>
      <c r="B25" s="12">
        <f>COUNTIF('Chi tiết'!$C$2:$C$1000,A25)</f>
        <v/>
      </c>
      <c r="C25" s="12">
        <f>COUNTIFS('Chi tiết'!$C$2:$C$1000,$A25,'Chi tiết'!$K$2:$K$1000,"PASSED")</f>
        <v/>
      </c>
      <c r="D25" s="12">
        <f>COUNTIFS('Chi tiết'!$C$2:$C$1000,$A25,'Chi tiết'!$K$2:$K$1000,"FAILED")</f>
        <v/>
      </c>
      <c r="E25" s="12">
        <f>COUNTIFS('Chi tiết'!$C$2:$C$1000,$A25,'Chi tiết'!$K$2:$K$1000,"ERROR")</f>
        <v/>
      </c>
      <c r="F25" s="12">
        <f>COUNTIFS('Chi tiết'!$C$2:$C$1000,$A25,'Chi tiết'!$K$2:$K$1000,"SKIPPED")</f>
        <v/>
      </c>
    </row>
    <row r="28">
      <c r="A28" s="2" t="inlineStr">
        <is>
          <t>Ghi chú:</t>
        </is>
      </c>
    </row>
    <row r="29">
      <c r="A29" s="3" t="inlineStr">
        <is>
          <t>• FAILED: ứng dụng cho kết quả khác mong đợi (assert sai).</t>
        </is>
      </c>
    </row>
    <row r="30">
      <c r="A30" s="3" t="inlineStr">
        <is>
          <t>• ERROR: test không chạy được trọn vẹn (không tìm thấy phần tử, Chrome không mở, mạng lỗi...).</t>
        </is>
      </c>
    </row>
    <row r="31">
      <c r="A31" s="3" t="inlineStr">
        <is>
          <t>• SKIPPED: bỏ qua có chủ đích, thường do chưa khai báo UTC_USER/UTC_PASS trong file .env.</t>
        </is>
      </c>
    </row>
    <row r="32">
      <c r="A32" s="3" t="inlineStr">
        <is>
          <t>• Các con số ở đây là công thức, tự cập nhật theo cột 'Trạng thái' của sheet 'Chi tiết'.</t>
        </is>
      </c>
    </row>
  </sheetData>
  <mergeCells count="7">
    <mergeCell ref="B3:G3"/>
    <mergeCell ref="A1:G1"/>
    <mergeCell ref="B5:G5"/>
    <mergeCell ref="B8:G8"/>
    <mergeCell ref="B4:G4"/>
    <mergeCell ref="B7:G7"/>
    <mergeCell ref="B6:G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38" customWidth="1" min="4" max="4"/>
    <col width="11" customWidth="1" min="5" max="5"/>
    <col width="28" customWidth="1" min="6" max="6"/>
    <col width="46" customWidth="1" min="7" max="7"/>
    <col width="30" customWidth="1" min="8" max="8"/>
    <col width="38" customWidth="1" min="9" max="9"/>
    <col width="44" customWidth="1" min="10" max="10"/>
    <col width="12" customWidth="1" min="11" max="11"/>
    <col width="12" customWidth="1" min="12" max="12"/>
    <col width="24" customWidth="1" min="13" max="13"/>
    <col width="19" customWidth="1" min="14" max="14"/>
  </cols>
  <sheetData>
    <row r="1" ht="30" customHeight="1">
      <c r="A1" s="13" t="inlineStr">
        <is>
          <t>STT</t>
        </is>
      </c>
      <c r="B1" s="13" t="inlineStr">
        <is>
          <t>Mã TC</t>
        </is>
      </c>
      <c r="C1" s="13" t="inlineStr">
        <is>
          <t>Nhóm</t>
        </is>
      </c>
      <c r="D1" s="13" t="inlineStr">
        <is>
          <t>Tên test case</t>
        </is>
      </c>
      <c r="E1" s="13" t="inlineStr">
        <is>
          <t>Ưu tiên</t>
        </is>
      </c>
      <c r="F1" s="13" t="inlineStr">
        <is>
          <t>Tiền điều kiện</t>
        </is>
      </c>
      <c r="G1" s="13" t="inlineStr">
        <is>
          <t>Các bước thực hiện</t>
        </is>
      </c>
      <c r="H1" s="13" t="inlineStr">
        <is>
          <t>Dữ liệu test</t>
        </is>
      </c>
      <c r="I1" s="13" t="inlineStr">
        <is>
          <t>Kết quả mong đợi</t>
        </is>
      </c>
      <c r="J1" s="13" t="inlineStr">
        <is>
          <t>Kết quả thực tế</t>
        </is>
      </c>
      <c r="K1" s="13" t="inlineStr">
        <is>
          <t>Trạng thái</t>
        </is>
      </c>
      <c r="L1" s="13" t="inlineStr">
        <is>
          <t>Thời gian (s)</t>
        </is>
      </c>
      <c r="M1" s="13" t="inlineStr">
        <is>
          <t>Ảnh chụp lỗi</t>
        </is>
      </c>
      <c r="N1" s="13" t="inlineStr">
        <is>
          <t>Thời điểm chạy</t>
        </is>
      </c>
    </row>
    <row r="2">
      <c r="A2" s="14" t="n">
        <v>1</v>
      </c>
      <c r="B2" s="14" t="inlineStr">
        <is>
          <t>TC01</t>
        </is>
      </c>
      <c r="C2" s="15" t="inlineStr">
        <is>
          <t>Giao diện</t>
        </is>
      </c>
      <c r="D2" s="15" t="inlineStr">
        <is>
          <t>Mở trang đăng nhập: URL, tiêu đề, HTTPS</t>
        </is>
      </c>
      <c r="E2" s="14" t="inlineStr">
        <is>
          <t>Cao</t>
        </is>
      </c>
      <c r="F2" s="15" t="inlineStr">
        <is>
          <t>Chrome đã mở, máy có kết nối Internet.</t>
        </is>
      </c>
      <c r="G2" s="15" t="inlineStr">
        <is>
          <t>1. Mở Chrome
2. Truy cập https://vanphongdientu.utc.edu.vn/Login</t>
        </is>
      </c>
      <c r="H2" s="15" t="inlineStr">
        <is>
          <t>Không có</t>
        </is>
      </c>
      <c r="I2" s="15" t="inlineStr">
        <is>
          <t>Trang tải thành công qua HTTPS, URL chứa /Login, tiêu đề có chữ 'Đăng nhập'</t>
        </is>
      </c>
      <c r="J2" s="15" t="inlineStr">
        <is>
          <t>Đúng như mong đợi</t>
        </is>
      </c>
      <c r="K2" s="14" t="inlineStr">
        <is>
          <t>PASSED</t>
        </is>
      </c>
      <c r="L2" s="14" t="n">
        <v>3.96</v>
      </c>
      <c r="M2" s="15" t="inlineStr"/>
      <c r="N2" s="14" t="inlineStr">
        <is>
          <t>08/10/2026 16:59:27</t>
        </is>
      </c>
    </row>
    <row r="3">
      <c r="A3" s="14" t="n">
        <v>2</v>
      </c>
      <c r="B3" s="14" t="inlineStr">
        <is>
          <t>TC02</t>
        </is>
      </c>
      <c r="C3" s="15" t="inlineStr">
        <is>
          <t>Giao diện</t>
        </is>
      </c>
      <c r="D3" s="15" t="inlineStr">
        <is>
          <t>Hiển thị đầy đủ các thành phần trên trang đăng nhập</t>
        </is>
      </c>
      <c r="E3" s="14" t="inlineStr">
        <is>
          <t>Cao</t>
        </is>
      </c>
      <c r="F3" s="15" t="inlineStr">
        <is>
          <t>Chrome đã mở, máy có kết nối Internet.</t>
        </is>
      </c>
      <c r="G3" s="15" t="inlineStr">
        <is>
          <t>1. Mở Chrome
2. Truy cập https://vanphongdientu.utc.edu.vn/Login
3. Quan sát các thành phần</t>
        </is>
      </c>
      <c r="H3" s="15" t="inlineStr">
        <is>
          <t>Không có</t>
        </is>
      </c>
      <c r="I3" s="15" t="inlineStr">
        <is>
          <t>Thấy đủ: ô tên đăng nhập, ô mật khẩu, ô tick 'Giữ tôi luôn đăng nhập', nút Đăng nhập, nút đăng nhập e-mail UTC, link Quên mật khẩu, Trung tâm trợ giúp, Ý kiến phản hồi</t>
        </is>
      </c>
      <c r="J3" s="15" t="inlineStr">
        <is>
          <t>Đúng như mong đợi</t>
        </is>
      </c>
      <c r="K3" s="14" t="inlineStr">
        <is>
          <t>PASSED</t>
        </is>
      </c>
      <c r="L3" s="14" t="n">
        <v>3.23</v>
      </c>
      <c r="M3" s="15" t="inlineStr"/>
      <c r="N3" s="14" t="inlineStr">
        <is>
          <t>08/10/2026 16:59:33</t>
        </is>
      </c>
    </row>
    <row r="4">
      <c r="A4" s="14" t="n">
        <v>3</v>
      </c>
      <c r="B4" s="14" t="inlineStr">
        <is>
          <t>TC03</t>
        </is>
      </c>
      <c r="C4" s="15" t="inlineStr">
        <is>
          <t>Giao diện</t>
        </is>
      </c>
      <c r="D4" s="15" t="inlineStr">
        <is>
          <t>Ô tên đăng nhập: kiểu text, trống mặc định, có gợi ý</t>
        </is>
      </c>
      <c r="E4" s="14" t="inlineStr">
        <is>
          <t>Trung bình</t>
        </is>
      </c>
      <c r="F4" s="15" t="inlineStr">
        <is>
          <t>Chrome đã mở, máy có kết nối Internet.</t>
        </is>
      </c>
      <c r="G4" s="15" t="inlineStr">
        <is>
          <t>1. Mở Chrome
2. Truy cập https://vanphongdientu.utc.edu.vn/Login
3. Kiểm tra ô 'Tên đăng nhập'</t>
        </is>
      </c>
      <c r="H4" s="15" t="inlineStr">
        <is>
          <t>Không có</t>
        </is>
      </c>
      <c r="I4" s="15" t="inlineStr">
        <is>
          <t>Ô kiểu text, giá trị rỗng, có placeholder</t>
        </is>
      </c>
      <c r="J4" s="15" t="inlineStr">
        <is>
          <t>Đúng như mong đợi</t>
        </is>
      </c>
      <c r="K4" s="14" t="inlineStr">
        <is>
          <t>PASSED</t>
        </is>
      </c>
      <c r="L4" s="14" t="n">
        <v>3.06</v>
      </c>
      <c r="M4" s="15" t="inlineStr"/>
      <c r="N4" s="14" t="inlineStr">
        <is>
          <t>08/10/2026 16:59:38</t>
        </is>
      </c>
    </row>
    <row r="5">
      <c r="A5" s="14" t="n">
        <v>4</v>
      </c>
      <c r="B5" s="14" t="inlineStr">
        <is>
          <t>TC04</t>
        </is>
      </c>
      <c r="C5" s="15" t="inlineStr">
        <is>
          <t>Giao diện</t>
        </is>
      </c>
      <c r="D5" s="15" t="inlineStr">
        <is>
          <t>Ô mật khẩu che ký tự khi nhập</t>
        </is>
      </c>
      <c r="E5" s="14" t="inlineStr">
        <is>
          <t>Cao</t>
        </is>
      </c>
      <c r="F5" s="15" t="inlineStr">
        <is>
          <t>Chrome đã mở, máy có kết nối Internet.</t>
        </is>
      </c>
      <c r="G5" s="15" t="inlineStr">
        <is>
          <t>1. Mở Chrome
2. Truy cập https://vanphongdientu.utc.edu.vn/Login
3. Nhập 'Abc@12345' vào ô Mật khẩu</t>
        </is>
      </c>
      <c r="H5" s="15" t="inlineStr">
        <is>
          <t>Mật khẩu: Abc@12345</t>
        </is>
      </c>
      <c r="I5" s="15" t="inlineStr">
        <is>
          <t>Ô có type=password (hiển thị dạng chấm) nhưng vẫn nhận đủ dữ liệu</t>
        </is>
      </c>
      <c r="J5" s="15" t="inlineStr">
        <is>
          <t>Đúng như mong đợi</t>
        </is>
      </c>
      <c r="K5" s="14" t="inlineStr">
        <is>
          <t>PASSED</t>
        </is>
      </c>
      <c r="L5" s="14" t="n">
        <v>2.75</v>
      </c>
      <c r="M5" s="15" t="inlineStr"/>
      <c r="N5" s="14" t="inlineStr">
        <is>
          <t>08/10/2026 16:59:44</t>
        </is>
      </c>
    </row>
    <row r="6">
      <c r="A6" s="14" t="n">
        <v>5</v>
      </c>
      <c r="B6" s="14" t="inlineStr">
        <is>
          <t>TC05</t>
        </is>
      </c>
      <c r="C6" s="15" t="inlineStr">
        <is>
          <t>Giao diện</t>
        </is>
      </c>
      <c r="D6" s="15" t="inlineStr">
        <is>
          <t>Nút 'Đăng nhập' hiển thị đúng nhãn và bấm được</t>
        </is>
      </c>
      <c r="E6" s="14" t="inlineStr">
        <is>
          <t>Trung bình</t>
        </is>
      </c>
      <c r="F6" s="15" t="inlineStr">
        <is>
          <t>Chrome đã mở, máy có kết nối Internet.</t>
        </is>
      </c>
      <c r="G6" s="15" t="inlineStr">
        <is>
          <t>1. Mở Chrome
2. Truy cập https://vanphongdientu.utc.edu.vn/Login
3. Kiểm tra nút Đăng nhập</t>
        </is>
      </c>
      <c r="H6" s="15" t="inlineStr">
        <is>
          <t>Không có</t>
        </is>
      </c>
      <c r="I6" s="15" t="inlineStr">
        <is>
          <t>Nút có nhãn 'Đăng nhập' và ở trạng thái enabled</t>
        </is>
      </c>
      <c r="J6" s="15" t="inlineStr">
        <is>
          <t>Đúng như mong đợi</t>
        </is>
      </c>
      <c r="K6" s="14" t="inlineStr">
        <is>
          <t>PASSED</t>
        </is>
      </c>
      <c r="L6" s="14" t="n">
        <v>2.48</v>
      </c>
      <c r="M6" s="15" t="inlineStr"/>
      <c r="N6" s="14" t="inlineStr">
        <is>
          <t>08/10/2026 16:59:49</t>
        </is>
      </c>
    </row>
    <row r="7">
      <c r="A7" s="14" t="n">
        <v>6</v>
      </c>
      <c r="B7" s="14" t="inlineStr">
        <is>
          <t>TC06</t>
        </is>
      </c>
      <c r="C7" s="15" t="inlineStr">
        <is>
          <t>Giao diện</t>
        </is>
      </c>
      <c r="D7" s="15" t="inlineStr">
        <is>
          <t>Ô 'Giữ tôi luôn đăng nhập' mặc định chưa được tick</t>
        </is>
      </c>
      <c r="E7" s="14" t="inlineStr">
        <is>
          <t>Thấp</t>
        </is>
      </c>
      <c r="F7" s="15" t="inlineStr">
        <is>
          <t>Chrome đã mở, máy có kết nối Internet.</t>
        </is>
      </c>
      <c r="G7" s="15" t="inlineStr">
        <is>
          <t>1. Mở Chrome
2. Truy cập https://vanphongdientu.utc.edu.vn/Login
3. Quan sát ô 'Giữ tôi luôn đăng nhập'</t>
        </is>
      </c>
      <c r="H7" s="15" t="inlineStr">
        <is>
          <t>Không có</t>
        </is>
      </c>
      <c r="I7" s="15" t="inlineStr">
        <is>
          <t>Ô tick ở trạng thái chưa chọn</t>
        </is>
      </c>
      <c r="J7" s="15" t="inlineStr">
        <is>
          <t>Đúng như mong đợi</t>
        </is>
      </c>
      <c r="K7" s="14" t="inlineStr">
        <is>
          <t>PASSED</t>
        </is>
      </c>
      <c r="L7" s="14" t="n">
        <v>2.07</v>
      </c>
      <c r="M7" s="15" t="inlineStr"/>
      <c r="N7" s="14" t="inlineStr">
        <is>
          <t>08/10/2026 16:59:54</t>
        </is>
      </c>
    </row>
    <row r="8">
      <c r="A8" s="14" t="n">
        <v>7</v>
      </c>
      <c r="B8" s="14" t="inlineStr">
        <is>
          <t>TC07</t>
        </is>
      </c>
      <c r="C8" s="15" t="inlineStr">
        <is>
          <t>Giao diện</t>
        </is>
      </c>
      <c r="D8" s="15" t="inlineStr">
        <is>
          <t>Bấm ô 'Giữ tôi luôn đăng nhập' để tick rồi bỏ tick</t>
        </is>
      </c>
      <c r="E8" s="14" t="inlineStr">
        <is>
          <t>Trung bình</t>
        </is>
      </c>
      <c r="F8" s="15" t="inlineStr">
        <is>
          <t>Chrome đã mở, máy có kết nối Internet.</t>
        </is>
      </c>
      <c r="G8" s="15" t="inlineStr">
        <is>
          <t>1. Mở Chrome
2. Truy cập https://vanphongdientu.utc.edu.vn/Login
3. Bấm vào ô 'Giữ tôi luôn đăng nhập'
4. Bấm thêm lần nữa</t>
        </is>
      </c>
      <c r="H8" s="15" t="inlineStr">
        <is>
          <t>Không có</t>
        </is>
      </c>
      <c r="I8" s="15" t="inlineStr">
        <is>
          <t>Lần 1: được tick. Lần 2: bỏ tick</t>
        </is>
      </c>
      <c r="J8" s="15" t="inlineStr">
        <is>
          <t>Đúng như mong đợi</t>
        </is>
      </c>
      <c r="K8" s="14" t="inlineStr">
        <is>
          <t>PASSED</t>
        </is>
      </c>
      <c r="L8" s="14" t="n">
        <v>2.34</v>
      </c>
      <c r="M8" s="15" t="inlineStr"/>
      <c r="N8" s="14" t="inlineStr">
        <is>
          <t>08/10/2026 16:59:58</t>
        </is>
      </c>
    </row>
    <row r="9">
      <c r="A9" s="14" t="n">
        <v>8</v>
      </c>
      <c r="B9" s="14" t="inlineStr">
        <is>
          <t>TC08</t>
        </is>
      </c>
      <c r="C9" s="15" t="inlineStr">
        <is>
          <t>Giao diện</t>
        </is>
      </c>
      <c r="D9" s="15" t="inlineStr">
        <is>
          <t>Phím Tab chuyển focus từ ô tên đăng nhập sang ô mật khẩu</t>
        </is>
      </c>
      <c r="E9" s="14" t="inlineStr">
        <is>
          <t>Thấp</t>
        </is>
      </c>
      <c r="F9" s="15" t="inlineStr">
        <is>
          <t>Chrome đã mở, máy có kết nối Internet.</t>
        </is>
      </c>
      <c r="G9" s="15" t="inlineStr">
        <is>
          <t>1. Mở Chrome
2. Truy cập https://vanphongdientu.utc.edu.vn/Login
3. Bấm vào ô Tên đăng nhập
4. Nhấn phím Tab</t>
        </is>
      </c>
      <c r="H9" s="15" t="inlineStr">
        <is>
          <t>Không có</t>
        </is>
      </c>
      <c r="I9" s="15" t="inlineStr">
        <is>
          <t>Focus chuyển sang ô Mật khẩu</t>
        </is>
      </c>
      <c r="J9" s="15" t="inlineStr">
        <is>
          <t>Đúng như mong đợi</t>
        </is>
      </c>
      <c r="K9" s="14" t="inlineStr">
        <is>
          <t>PASSED</t>
        </is>
      </c>
      <c r="L9" s="14" t="n">
        <v>1.99</v>
      </c>
      <c r="M9" s="15" t="inlineStr"/>
      <c r="N9" s="14" t="inlineStr">
        <is>
          <t>08/10/2026 17:00:03</t>
        </is>
      </c>
    </row>
    <row r="10">
      <c r="A10" s="14" t="n">
        <v>9</v>
      </c>
      <c r="B10" s="14" t="inlineStr">
        <is>
          <t>TC09</t>
        </is>
      </c>
      <c r="C10" s="15" t="inlineStr">
        <is>
          <t>Giao diện</t>
        </is>
      </c>
      <c r="D10" s="15" t="inlineStr">
        <is>
          <t>Giao diện điện thoại (375x812): vẫn thấy form đăng nhập</t>
        </is>
      </c>
      <c r="E10" s="14" t="inlineStr">
        <is>
          <t>Trung bình</t>
        </is>
      </c>
      <c r="F10" s="15" t="inlineStr">
        <is>
          <t>Chrome đã mở, máy có kết nối Internet.</t>
        </is>
      </c>
      <c r="G10" s="15" t="inlineStr">
        <is>
          <t>1. Mở Chrome, thu cửa sổ về 375x812
2. Truy cập https://vanphongdientu.utc.edu.vn/Login</t>
        </is>
      </c>
      <c r="H10" s="15" t="inlineStr">
        <is>
          <t>Kích thước: 375x812</t>
        </is>
      </c>
      <c r="I10" s="15" t="inlineStr">
        <is>
          <t>Ô tên đăng nhập, ô mật khẩu và nút Đăng nhập vẫn hiển thị</t>
        </is>
      </c>
      <c r="J10" s="15" t="inlineStr">
        <is>
          <t>Đúng như mong đợi</t>
        </is>
      </c>
      <c r="K10" s="14" t="inlineStr">
        <is>
          <t>PASSED</t>
        </is>
      </c>
      <c r="L10" s="14" t="n">
        <v>7.45</v>
      </c>
      <c r="M10" s="15" t="inlineStr"/>
      <c r="N10" s="14" t="inlineStr">
        <is>
          <t>08/10/2026 17:00:13</t>
        </is>
      </c>
    </row>
    <row r="11">
      <c r="A11" s="14" t="n">
        <v>10</v>
      </c>
      <c r="B11" s="14" t="inlineStr">
        <is>
          <t>TC10</t>
        </is>
      </c>
      <c r="C11" s="15" t="inlineStr">
        <is>
          <t>Giao diện</t>
        </is>
      </c>
      <c r="D11" s="15" t="inlineStr">
        <is>
          <t>Trang đăng nhập tải xong trong 10 giây</t>
        </is>
      </c>
      <c r="E11" s="14" t="inlineStr">
        <is>
          <t>Thấp</t>
        </is>
      </c>
      <c r="F11" s="15" t="inlineStr">
        <is>
          <t>Chrome đã mở, máy có kết nối Internet.</t>
        </is>
      </c>
      <c r="G11" s="15" t="inlineStr">
        <is>
          <t>1. Mở Chrome
2. Truy cập https://vanphongdientu.utc.edu.vn/Login
3. Đo thời gian từ lúc truy cập đến khi thấy ô tên đăng nhập</t>
        </is>
      </c>
      <c r="H11" s="15" t="inlineStr">
        <is>
          <t>Ngưỡng: 10 giây</t>
        </is>
      </c>
      <c r="I11" s="15" t="inlineStr">
        <is>
          <t>Thời gian tải &lt; 10 giây</t>
        </is>
      </c>
      <c r="J11" s="15" t="inlineStr">
        <is>
          <t>Đúng như mong đợi</t>
        </is>
      </c>
      <c r="K11" s="14" t="inlineStr">
        <is>
          <t>PASSED</t>
        </is>
      </c>
      <c r="L11" s="14" t="n">
        <v>2.72</v>
      </c>
      <c r="M11" s="15" t="inlineStr"/>
      <c r="N11" s="14" t="inlineStr">
        <is>
          <t>08/10/2026 17:00:18</t>
        </is>
      </c>
    </row>
    <row r="12">
      <c r="A12" s="14" t="n">
        <v>11</v>
      </c>
      <c r="B12" s="14" t="inlineStr">
        <is>
          <t>TC11</t>
        </is>
      </c>
      <c r="C12" s="15" t="inlineStr">
        <is>
          <t>Validate – tiêu cực</t>
        </is>
      </c>
      <c r="D12" s="15" t="inlineStr">
        <is>
          <t>Để trống cả tên đăng nhập và mật khẩu</t>
        </is>
      </c>
      <c r="E12" s="14" t="inlineStr">
        <is>
          <t>Cao</t>
        </is>
      </c>
      <c r="F12" s="15" t="inlineStr">
        <is>
          <t>Chrome đã mở, máy có kết nối Internet.</t>
        </is>
      </c>
      <c r="G12" s="15" t="inlineStr">
        <is>
          <t>1. Mở Chrome
2. Truy cập https://vanphongdientu.utc.edu.vn/Login
3. Nhập tên đăng nhập: (để trống)
4. Nhập mật khẩu: (để trống)
5. Bấm nút 'Đăng nhập'</t>
        </is>
      </c>
      <c r="H12" s="15" t="inlineStr">
        <is>
          <t>Cả hai ô để trống</t>
        </is>
      </c>
      <c r="I12" s="15" t="inlineStr">
        <is>
          <t>Không đăng nhập được, vẫn ở trang đăng nhập và còn form đăng nhập</t>
        </is>
      </c>
      <c r="J12" s="15" t="inlineStr">
        <is>
          <t>Đúng như mong đợi</t>
        </is>
      </c>
      <c r="K12" s="14" t="inlineStr">
        <is>
          <t>PASSED</t>
        </is>
      </c>
      <c r="L12" s="14" t="n">
        <v>2.28</v>
      </c>
      <c r="M12" s="15" t="inlineStr"/>
      <c r="N12" s="14" t="inlineStr">
        <is>
          <t>08/10/2026 17:00:23</t>
        </is>
      </c>
    </row>
    <row r="13">
      <c r="A13" s="14" t="n">
        <v>12</v>
      </c>
      <c r="B13" s="14" t="inlineStr">
        <is>
          <t>TC12</t>
        </is>
      </c>
      <c r="C13" s="15" t="inlineStr">
        <is>
          <t>Validate – tiêu cực</t>
        </is>
      </c>
      <c r="D13" s="15" t="inlineStr">
        <is>
          <t>Để trống tên đăng nhập, có nhập mật khẩu</t>
        </is>
      </c>
      <c r="E13" s="14" t="inlineStr">
        <is>
          <t>Cao</t>
        </is>
      </c>
      <c r="F13" s="15" t="inlineStr">
        <is>
          <t>Chrome đã mở, máy có kết nối Internet.</t>
        </is>
      </c>
      <c r="G13" s="15" t="inlineStr">
        <is>
          <t>1. Mở Chrome
2. Truy cập https://vanphongdientu.utc.edu.vn/Login
3. Nhập tên đăng nhập: (để trống)
4. Nhập mật khẩu: Abc@12345
5. Bấm nút 'Đăng nhập'</t>
        </is>
      </c>
      <c r="H13" s="15" t="inlineStr">
        <is>
          <t>Mật khẩu: Abc@12345</t>
        </is>
      </c>
      <c r="I13" s="15" t="inlineStr">
        <is>
          <t>Không đăng nhập được, vẫn ở trang đăng nhập và còn form đăng nhập</t>
        </is>
      </c>
      <c r="J13" s="15" t="inlineStr">
        <is>
          <t>Đúng như mong đợi</t>
        </is>
      </c>
      <c r="K13" s="14" t="inlineStr">
        <is>
          <t>PASSED</t>
        </is>
      </c>
      <c r="L13" s="14" t="n">
        <v>3.09</v>
      </c>
      <c r="M13" s="15" t="inlineStr"/>
      <c r="N13" s="14" t="inlineStr">
        <is>
          <t>08/10/2026 17:00:29</t>
        </is>
      </c>
    </row>
    <row r="14">
      <c r="A14" s="14" t="n">
        <v>13</v>
      </c>
      <c r="B14" s="14" t="inlineStr">
        <is>
          <t>TC13</t>
        </is>
      </c>
      <c r="C14" s="15" t="inlineStr">
        <is>
          <t>Validate – tiêu cực</t>
        </is>
      </c>
      <c r="D14" s="15" t="inlineStr">
        <is>
          <t>Có tên đăng nhập, để trống mật khẩu</t>
        </is>
      </c>
      <c r="E14" s="14" t="inlineStr">
        <is>
          <t>Cao</t>
        </is>
      </c>
      <c r="F14" s="15" t="inlineStr">
        <is>
          <t>Chrome đã mở, máy có kết nối Internet.</t>
        </is>
      </c>
      <c r="G14" s="15" t="inlineStr">
        <is>
          <t>1. Mở Chrome
2. Truy cập https://vanphongdientu.utc.edu.vn/Login
3. Nhập tên đăng nhập: sinhvien_tc13
4. Nhập mật khẩu: (để trống)
5. Bấm nút 'Đăng nhập'</t>
        </is>
      </c>
      <c r="H14" s="15" t="inlineStr">
        <is>
          <t>Tên đăng nhập: sinhvien_tc13</t>
        </is>
      </c>
      <c r="I14" s="15" t="inlineStr">
        <is>
          <t>Không đăng nhập được, vẫn ở trang đăng nhập và còn form đăng nhập</t>
        </is>
      </c>
      <c r="J14" s="15" t="inlineStr">
        <is>
          <t>Đúng như mong đợi</t>
        </is>
      </c>
      <c r="K14" s="14" t="inlineStr">
        <is>
          <t>PASSED</t>
        </is>
      </c>
      <c r="L14" s="14" t="n">
        <v>3.84</v>
      </c>
      <c r="M14" s="15" t="inlineStr"/>
      <c r="N14" s="14" t="inlineStr">
        <is>
          <t>08/10/2026 17:00:35</t>
        </is>
      </c>
    </row>
    <row r="15">
      <c r="A15" s="14" t="n">
        <v>14</v>
      </c>
      <c r="B15" s="14" t="inlineStr">
        <is>
          <t>TC14</t>
        </is>
      </c>
      <c r="C15" s="15" t="inlineStr">
        <is>
          <t>Validate – tiêu cực</t>
        </is>
      </c>
      <c r="D15" s="15" t="inlineStr">
        <is>
          <t>Tên đăng nhập không tồn tại</t>
        </is>
      </c>
      <c r="E15" s="14" t="inlineStr">
        <is>
          <t>Cao</t>
        </is>
      </c>
      <c r="F15" s="15" t="inlineStr">
        <is>
          <t>Chrome đã mở, máy có kết nối Internet.</t>
        </is>
      </c>
      <c r="G15" s="15" t="inlineStr">
        <is>
          <t>1. Mở Chrome
2. Truy cập https://vanphongdientu.utc.edu.vn/Login
3. Nhập tên đăng nhập: khong_ton_tai_tc14
4. Nhập mật khẩu: Sai@Pass123
5. Bấm nút 'Đăng nhập'</t>
        </is>
      </c>
      <c r="H15" s="15" t="inlineStr">
        <is>
          <t>Tên đăng nhập: khong_ton_tai_tc14; Mật khẩu: Sai@Pass123</t>
        </is>
      </c>
      <c r="I15" s="15" t="inlineStr">
        <is>
          <t>Không đăng nhập được, vẫn ở trang đăng nhập và còn form đăng nhập</t>
        </is>
      </c>
      <c r="J15" s="15" t="inlineStr">
        <is>
          <t>Đúng như mong đợi</t>
        </is>
      </c>
      <c r="K15" s="14" t="inlineStr">
        <is>
          <t>PASSED</t>
        </is>
      </c>
      <c r="L15" s="14" t="n">
        <v>2.04</v>
      </c>
      <c r="M15" s="15" t="inlineStr"/>
      <c r="N15" s="14" t="inlineStr">
        <is>
          <t>08/10/2026 17:00:40</t>
        </is>
      </c>
    </row>
    <row r="16">
      <c r="A16" s="14" t="n">
        <v>15</v>
      </c>
      <c r="B16" s="14" t="inlineStr">
        <is>
          <t>TC15</t>
        </is>
      </c>
      <c r="C16" s="15" t="inlineStr">
        <is>
          <t>Validate – tiêu cực</t>
        </is>
      </c>
      <c r="D16" s="15" t="inlineStr">
        <is>
          <t>Đúng tên đăng nhập, sai mật khẩu</t>
        </is>
      </c>
      <c r="E16" s="14" t="inlineStr">
        <is>
          <t>Cao</t>
        </is>
      </c>
      <c r="F16" s="15" t="inlineStr">
        <is>
          <t>Chrome đã mở, có Internet; đã khai báo UTC_USER/UTC_PASS (tài khoản thử nghiệm) trong file .env.</t>
        </is>
      </c>
      <c r="G16" s="15" t="inlineStr">
        <is>
          <t>1. Mở Chrome
2. Truy cập https://vanphongdientu.utc.edu.vn/Login
3. Nhập tên đăng nhập: (tài khoản hợp lệ)
4. Nhập mật khẩu: (mật khẩu hợp lệ + '_sai')
5. Bấm nút 'Đăng nhập'</t>
        </is>
      </c>
      <c r="H16" s="15" t="inlineStr">
        <is>
          <t>Tài khoản hợp lệ lấy từ file .env; mật khẩu thêm hậu tố '_sai'</t>
        </is>
      </c>
      <c r="I16" s="15" t="inlineStr">
        <is>
          <t>Không đăng nhập được, vẫn ở trang đăng nhập và còn form đăng nhập</t>
        </is>
      </c>
      <c r="J16" s="15" t="inlineStr">
        <is>
          <t>Chua dat UTC_USER / UTC_PASS trong file .env</t>
        </is>
      </c>
      <c r="K16" s="14" t="inlineStr">
        <is>
          <t>SKIPPED</t>
        </is>
      </c>
      <c r="L16" s="14" t="n">
        <v>0</v>
      </c>
      <c r="M16" s="15" t="inlineStr"/>
      <c r="N16" s="14" t="inlineStr">
        <is>
          <t>08/10/2026 17:00:42</t>
        </is>
      </c>
    </row>
    <row r="17">
      <c r="A17" s="14" t="n">
        <v>16</v>
      </c>
      <c r="B17" s="14" t="inlineStr">
        <is>
          <t>TC16</t>
        </is>
      </c>
      <c r="C17" s="15" t="inlineStr">
        <is>
          <t>Validate – tiêu cực</t>
        </is>
      </c>
      <c r="D17" s="15" t="inlineStr">
        <is>
          <t>Sai tên đăng nhập, đúng mật khẩu</t>
        </is>
      </c>
      <c r="E17" s="14" t="inlineStr">
        <is>
          <t>Trung bình</t>
        </is>
      </c>
      <c r="F17" s="15" t="inlineStr">
        <is>
          <t>Chrome đã mở, có Internet; đã khai báo UTC_USER/UTC_PASS (tài khoản thử nghiệm) trong file .env.</t>
        </is>
      </c>
      <c r="G17" s="15" t="inlineStr">
        <is>
          <t>1. Mở Chrome
2. Truy cập https://vanphongdientu.utc.edu.vn/Login
3. Nhập tên đăng nhập: (tài khoản hợp lệ + '_x9')
4. Nhập mật khẩu: (mật khẩu hợp lệ)
5. Bấm nút 'Đăng nhập'</t>
        </is>
      </c>
      <c r="H17" s="15" t="inlineStr">
        <is>
          <t>Tài khoản hợp lệ lấy từ file .env; tên đăng nhập thêm hậu tố '_x9'</t>
        </is>
      </c>
      <c r="I17" s="15" t="inlineStr">
        <is>
          <t>Không đăng nhập được, vẫn ở trang đăng nhập và còn form đăng nhập</t>
        </is>
      </c>
      <c r="J17" s="15" t="inlineStr">
        <is>
          <t>Chua dat UTC_USER / UTC_PASS trong file .env</t>
        </is>
      </c>
      <c r="K17" s="14" t="inlineStr">
        <is>
          <t>SKIPPED</t>
        </is>
      </c>
      <c r="L17" s="14" t="n">
        <v>0</v>
      </c>
      <c r="M17" s="15" t="inlineStr"/>
      <c r="N17" s="14" t="inlineStr">
        <is>
          <t>08/10/2026 17:00:42</t>
        </is>
      </c>
    </row>
    <row r="18">
      <c r="A18" s="14" t="n">
        <v>17</v>
      </c>
      <c r="B18" s="14" t="inlineStr">
        <is>
          <t>TC17</t>
        </is>
      </c>
      <c r="C18" s="15" t="inlineStr">
        <is>
          <t>Validate – tiêu cực</t>
        </is>
      </c>
      <c r="D18" s="15" t="inlineStr">
        <is>
          <t>Mật khẩu phân biệt chữ hoa/thường</t>
        </is>
      </c>
      <c r="E18" s="14" t="inlineStr">
        <is>
          <t>Trung bình</t>
        </is>
      </c>
      <c r="F18" s="15" t="inlineStr">
        <is>
          <t>Chrome đã mở, có Internet; đã khai báo UTC_USER/UTC_PASS (tài khoản thử nghiệm) trong file .env.</t>
        </is>
      </c>
      <c r="G18" s="15" t="inlineStr">
        <is>
          <t>1. Mở Chrome
2. Truy cập https://vanphongdientu.utc.edu.vn/Login
3. Nhập tên đăng nhập: (tài khoản hợp lệ)
4. Nhập mật khẩu: (mật khẩu hợp lệ đảo hoa/thường)
5. Bấm nút 'Đăng nhập'</t>
        </is>
      </c>
      <c r="H18" s="15" t="inlineStr">
        <is>
          <t>Tài khoản hợp lệ lấy từ file .env; mật khẩu đảo hoa/thường (swapcase)</t>
        </is>
      </c>
      <c r="I18" s="15" t="inlineStr">
        <is>
          <t>Không đăng nhập được, vẫn ở trang đăng nhập và còn form đăng nhập</t>
        </is>
      </c>
      <c r="J18" s="15" t="inlineStr">
        <is>
          <t>Chua dat UTC_USER / UTC_PASS trong file .env</t>
        </is>
      </c>
      <c r="K18" s="14" t="inlineStr">
        <is>
          <t>SKIPPED</t>
        </is>
      </c>
      <c r="L18" s="14" t="n">
        <v>0</v>
      </c>
      <c r="M18" s="15" t="inlineStr"/>
      <c r="N18" s="14" t="inlineStr">
        <is>
          <t>08/10/2026 17:00:42</t>
        </is>
      </c>
    </row>
    <row r="19">
      <c r="A19" s="14" t="n">
        <v>18</v>
      </c>
      <c r="B19" s="14" t="inlineStr">
        <is>
          <t>TC18</t>
        </is>
      </c>
      <c r="C19" s="15" t="inlineStr">
        <is>
          <t>Validate – tiêu cực</t>
        </is>
      </c>
      <c r="D19" s="15" t="inlineStr">
        <is>
          <t>Chỉ nhập khoảng trắng vào cả hai ô</t>
        </is>
      </c>
      <c r="E19" s="14" t="inlineStr">
        <is>
          <t>Trung bình</t>
        </is>
      </c>
      <c r="F19" s="15" t="inlineStr">
        <is>
          <t>Chrome đã mở, máy có kết nối Internet.</t>
        </is>
      </c>
      <c r="G19" s="15" t="inlineStr">
        <is>
          <t>1. Mở Chrome
2. Truy cập https://vanphongdientu.utc.edu.vn/Login
3. Nhập tên đăng nhập: '   '
4. Nhập mật khẩu: '   '
5. Bấm nút 'Đăng nhập'</t>
        </is>
      </c>
      <c r="H19" s="15" t="inlineStr">
        <is>
          <t>3 dấu cách ở mỗi ô</t>
        </is>
      </c>
      <c r="I19" s="15" t="inlineStr">
        <is>
          <t>Không đăng nhập được, vẫn ở trang đăng nhập và còn form đăng nhập</t>
        </is>
      </c>
      <c r="J19" s="15" t="inlineStr">
        <is>
          <t>Đúng như mong đợi</t>
        </is>
      </c>
      <c r="K19" s="14" t="inlineStr">
        <is>
          <t>PASSED</t>
        </is>
      </c>
      <c r="L19" s="14" t="n">
        <v>2.32</v>
      </c>
      <c r="M19" s="15" t="inlineStr"/>
      <c r="N19" s="14" t="inlineStr">
        <is>
          <t>08/10/2026 17:00:45</t>
        </is>
      </c>
    </row>
    <row r="20">
      <c r="A20" s="14" t="n">
        <v>19</v>
      </c>
      <c r="B20" s="14" t="inlineStr">
        <is>
          <t>TC19</t>
        </is>
      </c>
      <c r="C20" s="15" t="inlineStr">
        <is>
          <t>Validate – tiêu cực</t>
        </is>
      </c>
      <c r="D20" s="15" t="inlineStr">
        <is>
          <t>Nhập chuỗi rất dài (500 ký tự)</t>
        </is>
      </c>
      <c r="E20" s="14" t="inlineStr">
        <is>
          <t>Thấp</t>
        </is>
      </c>
      <c r="F20" s="15" t="inlineStr">
        <is>
          <t>Chrome đã mở, máy có kết nối Internet.</t>
        </is>
      </c>
      <c r="G20" s="15" t="inlineStr">
        <is>
          <t>1. Mở Chrome
2. Truy cập https://vanphongdientu.utc.edu.vn/Login
3. Nhập tên đăng nhập: 'a' x 500
4. Nhập mật khẩu: 'b' x 500
5. Bấm nút 'Đăng nhập'</t>
        </is>
      </c>
      <c r="H20" s="15" t="inlineStr">
        <is>
          <t>500 ký tự 'a' và 500 ký tự 'b'</t>
        </is>
      </c>
      <c r="I20" s="15" t="inlineStr">
        <is>
          <t>Không đăng nhập được, trang không lỗi/treo, vẫn ở trang đăng nhập</t>
        </is>
      </c>
      <c r="J20" s="15" t="inlineStr">
        <is>
          <t>Đúng như mong đợi</t>
        </is>
      </c>
      <c r="K20" s="14" t="inlineStr">
        <is>
          <t>PASSED</t>
        </is>
      </c>
      <c r="L20" s="14" t="n">
        <v>2.95</v>
      </c>
      <c r="M20" s="15" t="inlineStr"/>
      <c r="N20" s="14" t="inlineStr">
        <is>
          <t>08/10/2026 17:00:51</t>
        </is>
      </c>
    </row>
    <row r="21">
      <c r="A21" s="14" t="n">
        <v>20</v>
      </c>
      <c r="B21" s="14" t="inlineStr">
        <is>
          <t>TC20</t>
        </is>
      </c>
      <c r="C21" s="15" t="inlineStr">
        <is>
          <t>Validate – tiêu cực</t>
        </is>
      </c>
      <c r="D21" s="15" t="inlineStr">
        <is>
          <t>Ký tự đặc biệt / chuỗi kiểu SQL injection không qua được đăng nhập</t>
        </is>
      </c>
      <c r="E21" s="14" t="inlineStr">
        <is>
          <t>Cao</t>
        </is>
      </c>
      <c r="F21" s="15" t="inlineStr">
        <is>
          <t>Chrome đã mở, máy có kết nối Internet.</t>
        </is>
      </c>
      <c r="G21" s="15" t="inlineStr">
        <is>
          <t>1. Mở Chrome
2. Truy cập https://vanphongdientu.utc.edu.vn/Login
3. Nhập tên đăng nhập: ' OR '1'='1' --
4. Nhập mật khẩu: ' OR '1'='1' --
5. Bấm nút 'Đăng nhập'</t>
        </is>
      </c>
      <c r="H21" s="15" t="inlineStr">
        <is>
          <t>Chuỗi: ' OR '1'='1' --</t>
        </is>
      </c>
      <c r="I21" s="15" t="inlineStr">
        <is>
          <t>Không đăng nhập được, không hiện lỗi máy chủ</t>
        </is>
      </c>
      <c r="J21" s="15" t="inlineStr">
        <is>
          <t>Đúng như mong đợi</t>
        </is>
      </c>
      <c r="K21" s="14" t="inlineStr">
        <is>
          <t>PASSED</t>
        </is>
      </c>
      <c r="L21" s="14" t="n">
        <v>2.93</v>
      </c>
      <c r="M21" s="15" t="inlineStr"/>
      <c r="N21" s="14" t="inlineStr">
        <is>
          <t>08/10/2026 17:00:56</t>
        </is>
      </c>
    </row>
    <row r="22">
      <c r="A22" s="14" t="n">
        <v>21</v>
      </c>
      <c r="B22" s="14" t="inlineStr">
        <is>
          <t>TC21</t>
        </is>
      </c>
      <c r="C22" s="15" t="inlineStr">
        <is>
          <t>Validate – tiêu cực</t>
        </is>
      </c>
      <c r="D22" s="15" t="inlineStr">
        <is>
          <t>Chèn thẻ &lt;script&gt; vào ô nhập không bị thực thi</t>
        </is>
      </c>
      <c r="E22" s="14" t="inlineStr">
        <is>
          <t>Cao</t>
        </is>
      </c>
      <c r="F22" s="15" t="inlineStr">
        <is>
          <t>Chrome đã mở, máy có kết nối Internet.</t>
        </is>
      </c>
      <c r="G22" s="15" t="inlineStr">
        <is>
          <t>1. Mở Chrome
2. Truy cập https://vanphongdientu.utc.edu.vn/Login
3. Nhập tên đăng nhập: &lt;script&gt;alert('xss')&lt;/script&gt;
4. Nhập mật khẩu: Abc@12345
5. Bấm nút 'Đăng nhập'</t>
        </is>
      </c>
      <c r="H22" s="15" t="inlineStr">
        <is>
          <t>Chuỗi: &lt;script&gt;alert('xss')&lt;/script&gt;</t>
        </is>
      </c>
      <c r="I22" s="15" t="inlineStr">
        <is>
          <t>Script không chạy (không có alert 'xss'), vẫn ở trang đăng nhập</t>
        </is>
      </c>
      <c r="J22" s="15" t="inlineStr">
        <is>
          <t>Đúng như mong đợi</t>
        </is>
      </c>
      <c r="K22" s="14" t="inlineStr">
        <is>
          <t>PASSED</t>
        </is>
      </c>
      <c r="L22" s="14" t="n">
        <v>3.59</v>
      </c>
      <c r="M22" s="15" t="inlineStr"/>
      <c r="N22" s="14" t="inlineStr">
        <is>
          <t>08/10/2026 17:01:02</t>
        </is>
      </c>
    </row>
    <row r="23">
      <c r="A23" s="14" t="n">
        <v>22</v>
      </c>
      <c r="B23" s="14" t="inlineStr">
        <is>
          <t>TC22</t>
        </is>
      </c>
      <c r="C23" s="15" t="inlineStr">
        <is>
          <t>Validate – tiêu cực</t>
        </is>
      </c>
      <c r="D23" s="15" t="inlineStr">
        <is>
          <t>Nhập tiếng Việt có dấu và ký tự lạ</t>
        </is>
      </c>
      <c r="E23" s="14" t="inlineStr">
        <is>
          <t>Thấp</t>
        </is>
      </c>
      <c r="F23" s="15" t="inlineStr">
        <is>
          <t>Chrome đã mở, máy có kết nối Internet.</t>
        </is>
      </c>
      <c r="G23" s="15" t="inlineStr">
        <is>
          <t>1. Mở Chrome
2. Truy cập https://vanphongdientu.utc.edu.vn/Login
3. Nhập tên đăng nhập: Nguyễn Văn Ạ ★
4. Nhập mật khẩu: Mật@khẩu★123
5. Bấm nút 'Đăng nhập'</t>
        </is>
      </c>
      <c r="H23" s="15" t="inlineStr">
        <is>
          <t>Tên: Nguyễn Văn Ạ ★; Mật khẩu: Mật@khẩu★123</t>
        </is>
      </c>
      <c r="I23" s="15" t="inlineStr">
        <is>
          <t>Không đăng nhập được, trang không lỗi</t>
        </is>
      </c>
      <c r="J23" s="15" t="inlineStr">
        <is>
          <t>Đúng như mong đợi</t>
        </is>
      </c>
      <c r="K23" s="14" t="inlineStr">
        <is>
          <t>PASSED</t>
        </is>
      </c>
      <c r="L23" s="14" t="n">
        <v>2.64</v>
      </c>
      <c r="M23" s="15" t="inlineStr"/>
      <c r="N23" s="14" t="inlineStr">
        <is>
          <t>08/10/2026 17:01:08</t>
        </is>
      </c>
    </row>
    <row r="24">
      <c r="A24" s="14" t="n">
        <v>23</v>
      </c>
      <c r="B24" s="14" t="inlineStr">
        <is>
          <t>TC23</t>
        </is>
      </c>
      <c r="C24" s="15" t="inlineStr">
        <is>
          <t>Đăng nhập – tích cực</t>
        </is>
      </c>
      <c r="D24" s="15" t="inlineStr">
        <is>
          <t>Đăng nhập thành công bằng tài khoản hợp lệ</t>
        </is>
      </c>
      <c r="E24" s="14" t="inlineStr">
        <is>
          <t>Cao</t>
        </is>
      </c>
      <c r="F24" s="15" t="inlineStr">
        <is>
          <t>Chrome đã mở, có Internet; đã khai báo UTC_USER/UTC_PASS (tài khoản thử nghiệm) trong file .env.</t>
        </is>
      </c>
      <c r="G24" s="15" t="inlineStr">
        <is>
          <t>1. Mở Chrome
2. Truy cập https://vanphongdientu.utc.edu.vn/Login
3. Nhập tên đăng nhập và mật khẩu hợp lệ
4. Bấm nút 'Đăng nhập'</t>
        </is>
      </c>
      <c r="H24" s="15" t="inlineStr">
        <is>
          <t>Tài khoản hợp lệ lấy từ file .env</t>
        </is>
      </c>
      <c r="I24" s="15" t="inlineStr">
        <is>
          <t>Rời khỏi trang /Login và không còn form đăng nhập</t>
        </is>
      </c>
      <c r="J24" s="15" t="inlineStr">
        <is>
          <t>Chua dat UTC_USER / UTC_PASS trong file .env</t>
        </is>
      </c>
      <c r="K24" s="14" t="inlineStr">
        <is>
          <t>SKIPPED</t>
        </is>
      </c>
      <c r="L24" s="14" t="n">
        <v>0</v>
      </c>
      <c r="M24" s="15" t="inlineStr"/>
      <c r="N24" s="14" t="inlineStr">
        <is>
          <t>08/10/2026 17:01:10</t>
        </is>
      </c>
    </row>
    <row r="25">
      <c r="A25" s="14" t="n">
        <v>24</v>
      </c>
      <c r="B25" s="14" t="inlineStr">
        <is>
          <t>TC24</t>
        </is>
      </c>
      <c r="C25" s="15" t="inlineStr">
        <is>
          <t>Đăng nhập – tích cực</t>
        </is>
      </c>
      <c r="D25" s="15" t="inlineStr">
        <is>
          <t>Đăng nhập thành công bằng phím Enter</t>
        </is>
      </c>
      <c r="E25" s="14" t="inlineStr">
        <is>
          <t>Trung bình</t>
        </is>
      </c>
      <c r="F25" s="15" t="inlineStr">
        <is>
          <t>Chrome đã mở, có Internet; đã khai báo UTC_USER/UTC_PASS (tài khoản thử nghiệm) trong file .env.</t>
        </is>
      </c>
      <c r="G25" s="15" t="inlineStr">
        <is>
          <t>1. Mở Chrome
2. Truy cập https://vanphongdientu.utc.edu.vn/Login
3. Nhập tên đăng nhập và mật khẩu hợp lệ
4. Đặt con trỏ ở ô Mật khẩu rồi nhấn Enter</t>
        </is>
      </c>
      <c r="H25" s="15" t="inlineStr">
        <is>
          <t>Tài khoản hợp lệ lấy từ file .env</t>
        </is>
      </c>
      <c r="I25" s="15" t="inlineStr">
        <is>
          <t>Form được gửi đi và đăng nhập thành công</t>
        </is>
      </c>
      <c r="J25" s="15" t="inlineStr">
        <is>
          <t>Chua dat UTC_USER / UTC_PASS trong file .env</t>
        </is>
      </c>
      <c r="K25" s="14" t="inlineStr">
        <is>
          <t>SKIPPED</t>
        </is>
      </c>
      <c r="L25" s="14" t="n">
        <v>0</v>
      </c>
      <c r="M25" s="15" t="inlineStr"/>
      <c r="N25" s="14" t="inlineStr">
        <is>
          <t>08/10/2026 17:01:10</t>
        </is>
      </c>
    </row>
    <row r="26">
      <c r="A26" s="14" t="n">
        <v>25</v>
      </c>
      <c r="B26" s="14" t="inlineStr">
        <is>
          <t>TC25</t>
        </is>
      </c>
      <c r="C26" s="15" t="inlineStr">
        <is>
          <t>Đăng nhập – tích cực</t>
        </is>
      </c>
      <c r="D26" s="15" t="inlineStr">
        <is>
          <t>Đăng nhập thành công khi tick 'Giữ tôi luôn đăng nhập'</t>
        </is>
      </c>
      <c r="E26" s="14" t="inlineStr">
        <is>
          <t>Trung bình</t>
        </is>
      </c>
      <c r="F26" s="15" t="inlineStr">
        <is>
          <t>Chrome đã mở, có Internet; đã khai báo UTC_USER/UTC_PASS (tài khoản thử nghiệm) trong file .env.</t>
        </is>
      </c>
      <c r="G26" s="15" t="inlineStr">
        <is>
          <t>1. Mở Chrome
2. Truy cập https://vanphongdientu.utc.edu.vn/Login
3. Tick ô 'Giữ tôi luôn đăng nhập'
4. Nhập tên đăng nhập và mật khẩu hợp lệ
5. Bấm 'Đăng nhập'</t>
        </is>
      </c>
      <c r="H26" s="15" t="inlineStr">
        <is>
          <t>Tài khoản hợp lệ lấy từ file .env; có tick 'Giữ tôi luôn đăng nhập'</t>
        </is>
      </c>
      <c r="I26" s="15" t="inlineStr">
        <is>
          <t>Ô được tick và đăng nhập thành công</t>
        </is>
      </c>
      <c r="J26" s="15" t="inlineStr">
        <is>
          <t>Chua dat UTC_USER / UTC_PASS trong file .env</t>
        </is>
      </c>
      <c r="K26" s="14" t="inlineStr">
        <is>
          <t>SKIPPED</t>
        </is>
      </c>
      <c r="L26" s="14" t="n">
        <v>0</v>
      </c>
      <c r="M26" s="15" t="inlineStr"/>
      <c r="N26" s="14" t="inlineStr">
        <is>
          <t>08/10/2026 17:01:10</t>
        </is>
      </c>
    </row>
    <row r="27">
      <c r="A27" s="14" t="n">
        <v>26</v>
      </c>
      <c r="B27" s="14" t="inlineStr">
        <is>
          <t>TC26</t>
        </is>
      </c>
      <c r="C27" s="15" t="inlineStr">
        <is>
          <t>Đăng nhập – tích cực</t>
        </is>
      </c>
      <c r="D27" s="15" t="inlineStr">
        <is>
          <t>Truy cập trang chủ khi chưa đăng nhập bị đưa về trang đăng nhập</t>
        </is>
      </c>
      <c r="E27" s="14" t="inlineStr">
        <is>
          <t>Cao</t>
        </is>
      </c>
      <c r="F27" s="15" t="inlineStr">
        <is>
          <t>Chrome đã mở, máy có kết nối Internet.</t>
        </is>
      </c>
      <c r="G27" s="15" t="inlineStr">
        <is>
          <t>1. Mở Chrome (chưa đăng nhập)
2. Truy cập https://vanphongdientu.utc.edu.vn/</t>
        </is>
      </c>
      <c r="H27" s="15" t="inlineStr">
        <is>
          <t>Không có</t>
        </is>
      </c>
      <c r="I27" s="15" t="inlineStr">
        <is>
          <t>Hệ thống hiển thị form đăng nhập, không cho xem nội dung bên trong</t>
        </is>
      </c>
      <c r="J27" s="15" t="inlineStr">
        <is>
          <t>Đúng như mong đợi</t>
        </is>
      </c>
      <c r="K27" s="14" t="inlineStr">
        <is>
          <t>PASSED</t>
        </is>
      </c>
      <c r="L27" s="14" t="n">
        <v>2.99</v>
      </c>
      <c r="M27" s="15" t="inlineStr"/>
      <c r="N27" s="14" t="inlineStr">
        <is>
          <t>08/10/2026 17:01:13</t>
        </is>
      </c>
    </row>
    <row r="28">
      <c r="A28" s="14" t="n">
        <v>27</v>
      </c>
      <c r="B28" s="14" t="inlineStr">
        <is>
          <t>TC27</t>
        </is>
      </c>
      <c r="C28" s="15" t="inlineStr">
        <is>
          <t>Liên kết</t>
        </is>
      </c>
      <c r="D28" s="15" t="inlineStr">
        <is>
          <t>Link 'Bạn quên mật khẩu đăng nhập?' mở đúng trang rồi quay lại được</t>
        </is>
      </c>
      <c r="E28" s="14" t="inlineStr">
        <is>
          <t>Trung bình</t>
        </is>
      </c>
      <c r="F28" s="15" t="inlineStr">
        <is>
          <t>Chrome đã mở, máy có kết nối Internet.</t>
        </is>
      </c>
      <c r="G28" s="15" t="inlineStr">
        <is>
          <t>1. Mở Chrome
2. Truy cập https://vanphongdientu.utc.edu.vn/Login
3. Bấm link 'Bạn quên mật khẩu đăng nhập?'
4. Bấm nút Back của trình duyệt</t>
        </is>
      </c>
      <c r="H28" s="15" t="inlineStr">
        <is>
          <t>Không có</t>
        </is>
      </c>
      <c r="I28" s="15" t="inlineStr">
        <is>
          <t>Chuyển tới /Login/GetPass; Back quay về trang đăng nhập</t>
        </is>
      </c>
      <c r="J28" s="15" t="inlineStr">
        <is>
          <t>Đúng như mong đợi</t>
        </is>
      </c>
      <c r="K28" s="14" t="inlineStr">
        <is>
          <t>PASSED</t>
        </is>
      </c>
      <c r="L28" s="14" t="n">
        <v>3.3</v>
      </c>
      <c r="M28" s="15" t="inlineStr"/>
      <c r="N28" s="14" t="inlineStr">
        <is>
          <t>08/10/2026 17:01:19</t>
        </is>
      </c>
    </row>
    <row r="29">
      <c r="A29" s="14" t="n">
        <v>28</v>
      </c>
      <c r="B29" s="14" t="inlineStr">
        <is>
          <t>TC28</t>
        </is>
      </c>
      <c r="C29" s="15" t="inlineStr">
        <is>
          <t>Liên kết</t>
        </is>
      </c>
      <c r="D29" s="15" t="inlineStr">
        <is>
          <t>Nút 'Đăng nhập bằng e-mail UTC' chuyển sang trang Google</t>
        </is>
      </c>
      <c r="E29" s="14" t="inlineStr">
        <is>
          <t>Trung bình</t>
        </is>
      </c>
      <c r="F29" s="15" t="inlineStr">
        <is>
          <t>Chrome đã mở, máy có kết nối Internet.</t>
        </is>
      </c>
      <c r="G29" s="15" t="inlineStr">
        <is>
          <t>1. Mở Chrome
2. Truy cập https://vanphongdientu.utc.edu.vn/Login
3. Bấm nút 'Đăng nhập bằng e-mail UTC' (không nhập gì trên trang Google)</t>
        </is>
      </c>
      <c r="H29" s="15" t="inlineStr">
        <is>
          <t>Không có</t>
        </is>
      </c>
      <c r="I29" s="15" t="inlineStr">
        <is>
          <t>Chuyển tới accounts.google.com</t>
        </is>
      </c>
      <c r="J29" s="15" t="inlineStr">
        <is>
          <t>Đúng như mong đợi</t>
        </is>
      </c>
      <c r="K29" s="14" t="inlineStr">
        <is>
          <t>PASSED</t>
        </is>
      </c>
      <c r="L29" s="14" t="n">
        <v>4.43</v>
      </c>
      <c r="M29" s="15" t="inlineStr"/>
      <c r="N29" s="14" t="inlineStr">
        <is>
          <t>08/10/2026 17:01:26</t>
        </is>
      </c>
    </row>
    <row r="30">
      <c r="A30" s="14" t="n">
        <v>29</v>
      </c>
      <c r="B30" s="14" t="inlineStr">
        <is>
          <t>TC30</t>
        </is>
      </c>
      <c r="C30" s="15" t="inlineStr">
        <is>
          <t>Liên kết</t>
        </is>
      </c>
      <c r="D30" s="15" t="inlineStr">
        <is>
          <t>Link 'Ý kiến phản hồi' trỏ tới e-mail hỗ trợ</t>
        </is>
      </c>
      <c r="E30" s="14" t="inlineStr">
        <is>
          <t>Thấp</t>
        </is>
      </c>
      <c r="F30" s="15" t="inlineStr">
        <is>
          <t>Chrome đã mở, máy có kết nối Internet.</t>
        </is>
      </c>
      <c r="G30" s="15" t="inlineStr">
        <is>
          <t>1. Mở Chrome
2. Truy cập https://vanphongdientu.utc.edu.vn/Login
3. Kiểm tra địa chỉ của link 'Ý kiến phản hồi'</t>
        </is>
      </c>
      <c r="H30" s="15" t="inlineStr">
        <is>
          <t>Không có</t>
        </is>
      </c>
      <c r="I30" s="15" t="inlineStr">
        <is>
          <t>Link dạng mailto: tới hotrokythuat@utc.edu.vn</t>
        </is>
      </c>
      <c r="J30" s="15" t="inlineStr">
        <is>
          <t>Đúng như mong đợi</t>
        </is>
      </c>
      <c r="K30" s="14" t="inlineStr">
        <is>
          <t>PASSED</t>
        </is>
      </c>
      <c r="L30" s="14" t="n">
        <v>1.67</v>
      </c>
      <c r="M30" s="15" t="inlineStr"/>
      <c r="N30" s="14" t="inlineStr">
        <is>
          <t>08/10/2026 17:01:30</t>
        </is>
      </c>
    </row>
    <row r="31">
      <c r="A31" s="14" t="n">
        <v>30</v>
      </c>
      <c r="B31" s="14" t="inlineStr">
        <is>
          <t>TC31</t>
        </is>
      </c>
      <c r="C31" s="15" t="inlineStr">
        <is>
          <t>Bảo mật</t>
        </is>
      </c>
      <c r="D31" s="15" t="inlineStr">
        <is>
          <t>Thông tin đăng nhập không xuất hiện trên URL sau khi gửi form</t>
        </is>
      </c>
      <c r="E31" s="14" t="inlineStr">
        <is>
          <t>Cao</t>
        </is>
      </c>
      <c r="F31" s="15" t="inlineStr">
        <is>
          <t>Chrome đã mở, máy có kết nối Internet.</t>
        </is>
      </c>
      <c r="G31" s="15" t="inlineStr">
        <is>
          <t>1. Mở Chrome
2. Truy cập https://vanphongdientu.utc.edu.vn/Login
3. Nhập tên đăng nhập 'tc31_user', mật khẩu 'Tc31_Pass!'
4. Bấm 'Đăng nhập'
5. Xem URL</t>
        </is>
      </c>
      <c r="H31" s="15" t="inlineStr">
        <is>
          <t>Tên: tc31_user; Mật khẩu: Tc31_Pass!</t>
        </is>
      </c>
      <c r="I31" s="15" t="inlineStr">
        <is>
          <t>URL không chứa tên đăng nhập hay mật khẩu (form dùng POST)</t>
        </is>
      </c>
      <c r="J31" s="15" t="inlineStr">
        <is>
          <t>Đúng như mong đợi</t>
        </is>
      </c>
      <c r="K31" s="14" t="inlineStr">
        <is>
          <t>PASSED</t>
        </is>
      </c>
      <c r="L31" s="14" t="n">
        <v>2.61</v>
      </c>
      <c r="M31" s="15" t="inlineStr"/>
      <c r="N31" s="14" t="inlineStr">
        <is>
          <t>08/10/2026 17:01:36</t>
        </is>
      </c>
    </row>
    <row r="32">
      <c r="A32" s="14" t="n">
        <v>31</v>
      </c>
      <c r="B32" s="14" t="inlineStr">
        <is>
          <t>TC32</t>
        </is>
      </c>
      <c r="C32" s="15" t="inlineStr">
        <is>
          <t>Bảo mật</t>
        </is>
      </c>
      <c r="D32" s="15" t="inlineStr">
        <is>
          <t>Ô mật khẩu được làm trống sau khi đăng nhập thất bại</t>
        </is>
      </c>
      <c r="E32" s="14" t="inlineStr">
        <is>
          <t>Trung bình</t>
        </is>
      </c>
      <c r="F32" s="15" t="inlineStr">
        <is>
          <t>Chrome đã mở, máy có kết nối Internet.</t>
        </is>
      </c>
      <c r="G32" s="15" t="inlineStr">
        <is>
          <t>1. Mở Chrome
2. Truy cập https://vanphongdientu.utc.edu.vn/Login
3. Nhập tên 'tc32_user', mật khẩu 'Sai@Pass123'
4. Bấm 'Đăng nhập'
5. Xem ô Mật khẩu</t>
        </is>
      </c>
      <c r="H32" s="15" t="inlineStr">
        <is>
          <t>Tên: tc32_user; Mật khẩu: Sai@Pass123</t>
        </is>
      </c>
      <c r="I32" s="15" t="inlineStr">
        <is>
          <t>Ô mật khẩu trống, không giữ lại mật khẩu vừa nhập</t>
        </is>
      </c>
      <c r="J32" s="15" t="inlineStr">
        <is>
          <t>Đúng như mong đợi</t>
        </is>
      </c>
      <c r="K32" s="14" t="inlineStr">
        <is>
          <t>PASSED</t>
        </is>
      </c>
      <c r="L32" s="14" t="n">
        <v>2.26</v>
      </c>
      <c r="M32" s="15" t="inlineStr"/>
      <c r="N32" s="14" t="inlineStr">
        <is>
          <t>08/10/2026 17:01:40</t>
        </is>
      </c>
    </row>
  </sheetData>
  <autoFilter ref="A1:N32"/>
  <conditionalFormatting sqref="K2:K100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"ERROR"</formula>
    </cfRule>
    <cfRule type="cellIs" priority="4" operator="equal" dxfId="3">
      <formula>"SKIPPED"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2026-10-08T10:01:43Z</dcterms:created>
  <dcterms:modified xsi:type="dcterms:W3CDTF">2026-10-08T10:01:43Z</dcterms:modified>
</cp:coreProperties>
</file>